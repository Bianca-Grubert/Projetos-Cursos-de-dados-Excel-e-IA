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\Desktop\Formação Santander\Projetos\"/>
    </mc:Choice>
  </mc:AlternateContent>
  <xr:revisionPtr revIDLastSave="0" documentId="13_ncr:1_{E74A9E6D-F547-4FB6-80AF-6BFD65E6F944}" xr6:coauthVersionLast="47" xr6:coauthVersionMax="47" xr10:uidLastSave="{00000000-0000-0000-0000-000000000000}"/>
  <bookViews>
    <workbookView xWindow="-108" yWindow="-108" windowWidth="23256" windowHeight="12456" activeTab="1" xr2:uid="{2ED05DD3-9E44-4515-A1C6-BC899D881796}"/>
  </bookViews>
  <sheets>
    <sheet name="Perguntas" sheetId="1" r:id="rId1"/>
    <sheet name="Simulador" sheetId="2" r:id="rId2"/>
    <sheet name="Apoio" sheetId="3" r:id="rId3"/>
  </sheets>
  <definedNames>
    <definedName name="_xlchart.v2.0" hidden="1">Simulador!$C$34:$C$39</definedName>
    <definedName name="_xlchart.v2.1" hidden="1">Simulador!$B$34:$B$39</definedName>
    <definedName name="_xlchart.v2.2" hidden="1">Simulador!$C$34:$C$39</definedName>
    <definedName name="anos">Simulador!$D$16</definedName>
    <definedName name="patimonio">Simulador!$D$18</definedName>
    <definedName name="rendimento_carteira">Simulador!$D$11</definedName>
    <definedName name="salario">Simulador!$D$10</definedName>
    <definedName name="sugestao_investimento">Simulador!$D$12</definedName>
    <definedName name="taxa_mensal">Simulador!$D$17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2" l="1"/>
  <c r="C36" i="2"/>
  <c r="C37" i="2"/>
  <c r="C38" i="2"/>
  <c r="C39" i="2"/>
  <c r="C34" i="2"/>
  <c r="A15" i="3"/>
  <c r="A16" i="3"/>
  <c r="A17" i="3"/>
  <c r="A18" i="3"/>
  <c r="A19" i="3"/>
  <c r="A20" i="3"/>
  <c r="A10" i="3"/>
  <c r="A11" i="3"/>
  <c r="A12" i="3"/>
  <c r="A13" i="3"/>
  <c r="A14" i="3"/>
  <c r="A9" i="3"/>
  <c r="A4" i="3"/>
  <c r="A5" i="3"/>
  <c r="A6" i="3"/>
  <c r="A7" i="3"/>
  <c r="A8" i="3"/>
  <c r="A3" i="3"/>
  <c r="C30" i="2"/>
  <c r="D35" i="2" s="1"/>
  <c r="D18" i="2"/>
  <c r="D19" i="2" s="1"/>
  <c r="D12" i="2"/>
  <c r="C23" i="2"/>
  <c r="D23" i="2" s="1"/>
  <c r="C24" i="2"/>
  <c r="D24" i="2" s="1"/>
  <c r="C25" i="2"/>
  <c r="D25" i="2" s="1"/>
  <c r="C26" i="2"/>
  <c r="D26" i="2" s="1"/>
  <c r="C22" i="2"/>
  <c r="D22" i="2" s="1"/>
  <c r="D39" i="2" l="1"/>
  <c r="D38" i="2"/>
  <c r="D37" i="2"/>
  <c r="D34" i="2"/>
  <c r="D36" i="2"/>
  <c r="D40" i="2" l="1"/>
</calcChain>
</file>

<file path=xl/sharedStrings.xml><?xml version="1.0" encoding="utf-8"?>
<sst xmlns="http://schemas.openxmlformats.org/spreadsheetml/2006/main" count="75" uniqueCount="39">
  <si>
    <t>Criar um simulador simples de investimentos</t>
  </si>
  <si>
    <t>Quanto investir or mês</t>
  </si>
  <si>
    <t>Por quantos anos tenho que investir</t>
  </si>
  <si>
    <t>Deve ter taxa de redimento mensal</t>
  </si>
  <si>
    <t>Qual patrimonio total terei</t>
  </si>
  <si>
    <t>Quanto é os dividendo mensais</t>
  </si>
  <si>
    <t>INVENTIMENTO MENSAL</t>
  </si>
  <si>
    <t>Quanto investir por mês?</t>
  </si>
  <si>
    <t>Por quantos anos?</t>
  </si>
  <si>
    <t>Dividendos mensais?</t>
  </si>
  <si>
    <t>Patrimonio acumulado?</t>
  </si>
  <si>
    <t>Taxa de rendimento mensal?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</si>
  <si>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</si>
  <si>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</si>
  <si>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</si>
  <si>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</si>
  <si>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</si>
  <si>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</si>
  <si>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RENDIMENTO</t>
  </si>
  <si>
    <t>CONFIGURAÇÕES</t>
  </si>
  <si>
    <t>Salário</t>
  </si>
  <si>
    <t>Rendimento Carteira</t>
  </si>
  <si>
    <t>Sugestão de Investimento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</si>
  <si>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</si>
  <si>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</si>
  <si>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</si>
  <si>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</si>
  <si>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</si>
  <si>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</si>
  <si>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</si>
  <si>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</si>
  <si>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</si>
  <si>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</si>
  <si>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</si>
  <si>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</si>
  <si>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Conservador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</si>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</sst>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0.34998626667073579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34998626667073579"/>
      </bottom>
      <diagonal/>
    </border>
    <border>
      <left/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medium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1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1"/>
      </left>
      <right style="medium">
        <color theme="0" tint="-0.34998626667073579"/>
      </right>
      <top style="medium">
        <color theme="0" tint="-0.34998626667073579"/>
      </top>
      <bottom style="medium">
        <color theme="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1"/>
      </bottom>
      <diagonal/>
    </border>
    <border>
      <left style="medium">
        <color theme="0" tint="-0.34998626667073579"/>
      </left>
      <right style="medium">
        <color theme="1"/>
      </right>
      <top style="medium">
        <color theme="0" tint="-0.34998626667073579"/>
      </top>
      <bottom style="medium">
        <color theme="1"/>
      </bottom>
      <diagonal/>
    </border>
    <border>
      <left style="medium">
        <color theme="1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1"/>
      </right>
      <top/>
      <bottom style="medium">
        <color theme="0" tint="-0.3499862666707357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34998626667073579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4" fillId="2" borderId="1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8" fontId="2" fillId="3" borderId="11" xfId="0" applyNumberFormat="1" applyFont="1" applyFill="1" applyBorder="1"/>
    <xf numFmtId="8" fontId="2" fillId="3" borderId="8" xfId="0" applyNumberFormat="1" applyFont="1" applyFill="1" applyBorder="1"/>
    <xf numFmtId="8" fontId="2" fillId="3" borderId="12" xfId="0" applyNumberFormat="1" applyFont="1" applyFill="1" applyBorder="1"/>
    <xf numFmtId="8" fontId="2" fillId="3" borderId="9" xfId="0" applyNumberFormat="1" applyFont="1" applyFill="1" applyBorder="1"/>
    <xf numFmtId="8" fontId="2" fillId="3" borderId="13" xfId="0" applyNumberFormat="1" applyFont="1" applyFill="1" applyBorder="1"/>
    <xf numFmtId="8" fontId="2" fillId="3" borderId="10" xfId="0" applyNumberFormat="1" applyFont="1" applyFill="1" applyBorder="1"/>
    <xf numFmtId="0" fontId="2" fillId="0" borderId="0" xfId="0" applyFont="1"/>
    <xf numFmtId="0" fontId="4" fillId="2" borderId="3" xfId="0" applyFont="1" applyFill="1" applyBorder="1" applyAlignment="1"/>
    <xf numFmtId="0" fontId="0" fillId="0" borderId="0" xfId="0" applyAlignment="1">
      <alignment horizontal="center"/>
    </xf>
    <xf numFmtId="10" fontId="2" fillId="0" borderId="19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26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center"/>
    </xf>
    <xf numFmtId="164" fontId="3" fillId="0" borderId="29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0" fontId="3" fillId="0" borderId="32" xfId="0" applyNumberFormat="1" applyFont="1" applyBorder="1" applyAlignment="1">
      <alignment horizontal="center" vertical="center"/>
    </xf>
    <xf numFmtId="8" fontId="3" fillId="3" borderId="32" xfId="0" applyNumberFormat="1" applyFont="1" applyFill="1" applyBorder="1" applyAlignment="1">
      <alignment horizontal="center" vertical="center"/>
    </xf>
    <xf numFmtId="8" fontId="3" fillId="3" borderId="35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horizontal="left" vertical="center" indent="3"/>
    </xf>
    <xf numFmtId="0" fontId="2" fillId="0" borderId="24" xfId="0" applyFont="1" applyBorder="1" applyAlignment="1">
      <alignment horizontal="left" vertical="center" indent="3"/>
    </xf>
    <xf numFmtId="0" fontId="2" fillId="0" borderId="17" xfId="0" applyFont="1" applyBorder="1" applyAlignment="1">
      <alignment horizontal="left" vertical="center" indent="3"/>
    </xf>
    <xf numFmtId="0" fontId="2" fillId="0" borderId="18" xfId="0" applyFont="1" applyBorder="1" applyAlignment="1">
      <alignment horizontal="left" vertical="center" indent="3"/>
    </xf>
    <xf numFmtId="0" fontId="2" fillId="0" borderId="20" xfId="0" applyFont="1" applyBorder="1" applyAlignment="1">
      <alignment horizontal="left" vertical="center" indent="3"/>
    </xf>
    <xf numFmtId="0" fontId="2" fillId="0" borderId="21" xfId="0" applyFont="1" applyBorder="1" applyAlignment="1">
      <alignment horizontal="left" vertical="center" indent="3"/>
    </xf>
    <xf numFmtId="0" fontId="2" fillId="0" borderId="27" xfId="0" applyFont="1" applyBorder="1" applyAlignment="1">
      <alignment horizontal="left" vertical="center" indent="3"/>
    </xf>
    <xf numFmtId="0" fontId="2" fillId="0" borderId="28" xfId="0" applyFont="1" applyBorder="1" applyAlignment="1">
      <alignment horizontal="left" vertical="center" indent="3"/>
    </xf>
    <xf numFmtId="0" fontId="2" fillId="0" borderId="30" xfId="0" applyFont="1" applyBorder="1" applyAlignment="1">
      <alignment horizontal="left" vertical="center" indent="3"/>
    </xf>
    <xf numFmtId="0" fontId="2" fillId="0" borderId="31" xfId="0" applyFont="1" applyBorder="1" applyAlignment="1">
      <alignment horizontal="left" vertical="center" indent="3"/>
    </xf>
    <xf numFmtId="0" fontId="3" fillId="3" borderId="30" xfId="0" applyFont="1" applyFill="1" applyBorder="1" applyAlignment="1">
      <alignment horizontal="left" vertical="center" indent="3"/>
    </xf>
    <xf numFmtId="0" fontId="3" fillId="3" borderId="31" xfId="0" applyFont="1" applyFill="1" applyBorder="1" applyAlignment="1">
      <alignment horizontal="left" vertical="center" indent="3"/>
    </xf>
    <xf numFmtId="0" fontId="3" fillId="3" borderId="33" xfId="0" applyFont="1" applyFill="1" applyBorder="1" applyAlignment="1">
      <alignment horizontal="left" vertical="center" indent="3"/>
    </xf>
    <xf numFmtId="0" fontId="3" fillId="3" borderId="34" xfId="0" applyFont="1" applyFill="1" applyBorder="1" applyAlignment="1">
      <alignment horizontal="left" vertical="center" indent="3"/>
    </xf>
    <xf numFmtId="0" fontId="2" fillId="3" borderId="5" xfId="0" applyFont="1" applyFill="1" applyBorder="1" applyAlignment="1">
      <alignment horizontal="left" indent="3"/>
    </xf>
    <xf numFmtId="0" fontId="2" fillId="3" borderId="6" xfId="0" applyFont="1" applyFill="1" applyBorder="1" applyAlignment="1">
      <alignment horizontal="left" indent="3"/>
    </xf>
    <xf numFmtId="0" fontId="2" fillId="3" borderId="7" xfId="0" applyFont="1" applyFill="1" applyBorder="1" applyAlignment="1">
      <alignment horizontal="left" indent="3"/>
    </xf>
    <xf numFmtId="0" fontId="7" fillId="6" borderId="0" xfId="0" applyFont="1" applyFill="1" applyAlignment="1">
      <alignment horizontal="center"/>
    </xf>
    <xf numFmtId="0" fontId="0" fillId="0" borderId="1" xfId="0" applyBorder="1"/>
    <xf numFmtId="0" fontId="0" fillId="0" borderId="36" xfId="0" applyBorder="1"/>
    <xf numFmtId="0" fontId="0" fillId="0" borderId="36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15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0" fillId="0" borderId="38" xfId="0" applyBorder="1" applyAlignment="1">
      <alignment horizontal="center"/>
    </xf>
    <xf numFmtId="9" fontId="0" fillId="0" borderId="39" xfId="0" applyNumberFormat="1" applyBorder="1" applyAlignment="1">
      <alignment horizontal="center"/>
    </xf>
    <xf numFmtId="9" fontId="0" fillId="0" borderId="16" xfId="1" applyFont="1" applyBorder="1" applyAlignment="1">
      <alignment horizontal="center"/>
    </xf>
    <xf numFmtId="9" fontId="0" fillId="0" borderId="39" xfId="1" applyFont="1" applyBorder="1" applyAlignment="1">
      <alignment horizontal="center"/>
    </xf>
    <xf numFmtId="9" fontId="0" fillId="0" borderId="40" xfId="0" applyNumberFormat="1" applyBorder="1" applyAlignment="1">
      <alignment horizontal="center"/>
    </xf>
    <xf numFmtId="0" fontId="7" fillId="6" borderId="41" xfId="0" applyFont="1" applyFill="1" applyBorder="1" applyAlignment="1">
      <alignment horizontal="center"/>
    </xf>
    <xf numFmtId="0" fontId="7" fillId="6" borderId="42" xfId="0" applyFont="1" applyFill="1" applyBorder="1" applyAlignment="1">
      <alignment horizontal="center"/>
    </xf>
    <xf numFmtId="0" fontId="7" fillId="6" borderId="43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0" fillId="6" borderId="46" xfId="0" applyFill="1" applyBorder="1"/>
    <xf numFmtId="0" fontId="0" fillId="6" borderId="47" xfId="0" applyFill="1" applyBorder="1"/>
    <xf numFmtId="164" fontId="7" fillId="6" borderId="48" xfId="0" applyNumberFormat="1" applyFont="1" applyFill="1" applyBorder="1" applyAlignment="1">
      <alignment horizontal="center"/>
    </xf>
    <xf numFmtId="0" fontId="6" fillId="5" borderId="40" xfId="2" applyBorder="1"/>
    <xf numFmtId="0" fontId="6" fillId="5" borderId="40" xfId="2" applyBorder="1" applyAlignment="1">
      <alignment horizontal="center"/>
    </xf>
    <xf numFmtId="0" fontId="7" fillId="3" borderId="40" xfId="0" applyFont="1" applyFill="1" applyBorder="1"/>
    <xf numFmtId="164" fontId="7" fillId="3" borderId="40" xfId="0" applyNumberFormat="1" applyFont="1" applyFill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39EFB2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</cx:f>
      </cx:strDim>
      <cx:numDim type="val">
        <cx:f>_xlchart.v2.2</cx:f>
      </cx:numDim>
    </cx:data>
  </cx:chartData>
  <cx:chart>
    <cx:plotArea>
      <cx:plotAreaRegion>
        <cx:series layoutId="funnel" uniqueId="{00000000-6A37-4D10-B779-CDAEC114CB18}">
          <cx:dataPt idx="0">
            <cx:spPr>
              <a:solidFill>
                <a:srgbClr val="92D05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0E2841">
                  <a:lumMod val="50000"/>
                  <a:lumOff val="50000"/>
                </a:srgbClr>
              </a:solidFill>
            </cx:spPr>
          </cx:dataPt>
          <cx:dataPt idx="4">
            <cx:spPr>
              <a:solidFill>
                <a:srgbClr val="39EFB2"/>
              </a:solidFill>
            </cx:spPr>
          </cx:dataPt>
          <cx:dataPt idx="5">
            <cx:spPr>
              <a:solidFill>
                <a:srgbClr val="E97132">
                  <a:lumMod val="75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1">
        <cx:cat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0</xdr:rowOff>
    </xdr:from>
    <xdr:to>
      <xdr:col>3</xdr:col>
      <xdr:colOff>1348740</xdr:colOff>
      <xdr:row>6</xdr:row>
      <xdr:rowOff>94964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2FF0B10-DF79-1995-B24C-00E11FAE71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73" t="28134" r="473" b="35541"/>
        <a:stretch>
          <a:fillRect/>
        </a:stretch>
      </xdr:blipFill>
      <xdr:spPr>
        <a:xfrm>
          <a:off x="236220" y="0"/>
          <a:ext cx="7101840" cy="1192244"/>
        </a:xfrm>
        <a:prstGeom prst="rect">
          <a:avLst/>
        </a:prstGeom>
      </xdr:spPr>
    </xdr:pic>
    <xdr:clientData/>
  </xdr:twoCellAnchor>
  <xdr:twoCellAnchor>
    <xdr:from>
      <xdr:col>1</xdr:col>
      <xdr:colOff>1386840</xdr:colOff>
      <xdr:row>41</xdr:row>
      <xdr:rowOff>3810</xdr:rowOff>
    </xdr:from>
    <xdr:to>
      <xdr:col>3</xdr:col>
      <xdr:colOff>251460</xdr:colOff>
      <xdr:row>56</xdr:row>
      <xdr:rowOff>3810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D09DEFB-42AF-A100-9F35-FF16055D44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8780" y="87363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196D-E72E-4950-9652-2F81BD82E7C6}">
  <dimension ref="A1:A6"/>
  <sheetViews>
    <sheetView workbookViewId="0">
      <selection activeCell="A7" sqref="A7"/>
    </sheetView>
  </sheetViews>
  <sheetFormatPr defaultRowHeight="14.4" x14ac:dyDescent="0.3"/>
  <cols>
    <col min="1" max="1" width="37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D726-45A8-4DFD-A952-B2BF687C28A5}">
  <dimension ref="A8:F65"/>
  <sheetViews>
    <sheetView showGridLines="0" tabSelected="1" workbookViewId="0">
      <selection activeCell="G51" sqref="G51"/>
    </sheetView>
  </sheetViews>
  <sheetFormatPr defaultColWidth="0" defaultRowHeight="14.4" x14ac:dyDescent="0.3"/>
  <cols>
    <col min="1" max="1" width="4.109375" customWidth="1"/>
    <col min="2" max="2" width="54.44140625" customWidth="1"/>
    <col min="3" max="3" width="28.77734375" bestFit="1" customWidth="1"/>
    <col min="4" max="4" width="19.77734375" customWidth="1"/>
    <col min="5" max="8" width="1.5546875" customWidth="1"/>
    <col min="9" max="16384" width="8.88671875" hidden="1"/>
  </cols>
  <sheetData>
    <row r="8" spans="2:4" ht="15" thickBot="1" x14ac:dyDescent="0.35"/>
    <row r="9" spans="2:4" ht="24" thickBot="1" x14ac:dyDescent="0.35">
      <c r="B9" s="19" t="s">
        <v>19</v>
      </c>
      <c r="C9" s="20"/>
      <c r="D9" s="21"/>
    </row>
    <row r="10" spans="2:4" ht="18.600000000000001" thickBot="1" x14ac:dyDescent="0.35">
      <c r="B10" s="28" t="s">
        <v>20</v>
      </c>
      <c r="C10" s="29"/>
      <c r="D10" s="18">
        <v>4200</v>
      </c>
    </row>
    <row r="11" spans="2:4" ht="18.600000000000001" thickBot="1" x14ac:dyDescent="0.35">
      <c r="B11" s="30" t="s">
        <v>21</v>
      </c>
      <c r="C11" s="31"/>
      <c r="D11" s="16">
        <v>6.0000000000000001E-3</v>
      </c>
    </row>
    <row r="12" spans="2:4" s="1" customFormat="1" ht="18.600000000000001" thickBot="1" x14ac:dyDescent="0.35">
      <c r="B12" s="32" t="s">
        <v>22</v>
      </c>
      <c r="C12" s="33"/>
      <c r="D12" s="17">
        <f>D10*30%</f>
        <v>1260</v>
      </c>
    </row>
    <row r="13" spans="2:4" s="1" customFormat="1" ht="18.600000000000001" thickBot="1" x14ac:dyDescent="0.35"/>
    <row r="14" spans="2:4" s="1" customFormat="1" ht="24" thickBot="1" x14ac:dyDescent="0.5">
      <c r="B14" s="4" t="s">
        <v>6</v>
      </c>
      <c r="C14" s="22"/>
      <c r="D14" s="14"/>
    </row>
    <row r="15" spans="2:4" s="1" customFormat="1" ht="18.600000000000001" thickBot="1" x14ac:dyDescent="0.35">
      <c r="B15" s="34" t="s">
        <v>7</v>
      </c>
      <c r="C15" s="35"/>
      <c r="D15" s="23">
        <v>1260</v>
      </c>
    </row>
    <row r="16" spans="2:4" s="1" customFormat="1" ht="18.600000000000001" thickBot="1" x14ac:dyDescent="0.35">
      <c r="B16" s="36" t="s">
        <v>8</v>
      </c>
      <c r="C16" s="37"/>
      <c r="D16" s="24">
        <v>10</v>
      </c>
    </row>
    <row r="17" spans="1:4" ht="18.600000000000001" thickBot="1" x14ac:dyDescent="0.35">
      <c r="B17" s="36" t="s">
        <v>11</v>
      </c>
      <c r="C17" s="37"/>
      <c r="D17" s="25">
        <v>1.0789999999999999E-2</v>
      </c>
    </row>
    <row r="18" spans="1:4" ht="18.600000000000001" thickBot="1" x14ac:dyDescent="0.35">
      <c r="B18" s="38" t="s">
        <v>10</v>
      </c>
      <c r="C18" s="39"/>
      <c r="D18" s="26">
        <f>FV(taxa_mensal,anos*12,D15*-1)</f>
        <v>306538.10778801696</v>
      </c>
    </row>
    <row r="19" spans="1:4" ht="18.600000000000001" thickBot="1" x14ac:dyDescent="0.35">
      <c r="B19" s="40" t="s">
        <v>9</v>
      </c>
      <c r="C19" s="41"/>
      <c r="D19" s="27">
        <f>patimonio*taxa_mensal</f>
        <v>3307.5461830327026</v>
      </c>
    </row>
    <row r="20" spans="1:4" ht="15" thickBot="1" x14ac:dyDescent="0.35"/>
    <row r="21" spans="1:4" ht="24" thickBot="1" x14ac:dyDescent="0.5">
      <c r="A21" s="2">
        <v>2</v>
      </c>
      <c r="B21" s="5" t="s">
        <v>17</v>
      </c>
      <c r="C21" s="6"/>
      <c r="D21" s="3" t="s">
        <v>18</v>
      </c>
    </row>
    <row r="22" spans="1:4" ht="18.600000000000001" thickBot="1" x14ac:dyDescent="0.4">
      <c r="A22" s="2">
        <v>5</v>
      </c>
      <c r="B22" s="42" t="s">
        <v>12</v>
      </c>
      <c r="C22" s="7">
        <f>FV($D$17,$A21*12,$D$15*-1)</f>
        <v>34306.810395032975</v>
      </c>
      <c r="D22" s="8">
        <f>C22*rendimento_carteira</f>
        <v>205.84086237019787</v>
      </c>
    </row>
    <row r="23" spans="1:4" ht="18.600000000000001" thickBot="1" x14ac:dyDescent="0.4">
      <c r="A23" s="2">
        <v>10</v>
      </c>
      <c r="B23" s="43" t="s">
        <v>13</v>
      </c>
      <c r="C23" s="9">
        <f>FV($D$17,$A22*12,$D$15*-1)</f>
        <v>105558.91163809443</v>
      </c>
      <c r="D23" s="10">
        <f>C23*rendimento_carteira</f>
        <v>633.35346982856663</v>
      </c>
    </row>
    <row r="24" spans="1:4" ht="18.600000000000001" thickBot="1" x14ac:dyDescent="0.4">
      <c r="A24" s="2">
        <v>20</v>
      </c>
      <c r="B24" s="43" t="s">
        <v>14</v>
      </c>
      <c r="C24" s="9">
        <f>FV($D$17,$A23*12,$D$15*-1)</f>
        <v>306538.10778801696</v>
      </c>
      <c r="D24" s="10">
        <f>C24*rendimento_carteira</f>
        <v>1839.2286467281017</v>
      </c>
    </row>
    <row r="25" spans="1:4" ht="18.600000000000001" thickBot="1" x14ac:dyDescent="0.4">
      <c r="A25" s="2">
        <v>30</v>
      </c>
      <c r="B25" s="43" t="s">
        <v>15</v>
      </c>
      <c r="C25" s="9">
        <f>FV($D$17,$A24*12,$D$15*-1)</f>
        <v>1417749.9841223215</v>
      </c>
      <c r="D25" s="10">
        <f>C25*rendimento_carteira</f>
        <v>8506.4999047339297</v>
      </c>
    </row>
    <row r="26" spans="1:4" ht="18.600000000000001" thickBot="1" x14ac:dyDescent="0.4">
      <c r="B26" s="44" t="s">
        <v>16</v>
      </c>
      <c r="C26" s="11">
        <f>FV($D$17,$A25*12,$D$15*-1)</f>
        <v>5445933.7653059401</v>
      </c>
      <c r="D26" s="12">
        <f>C26*rendimento_carteira</f>
        <v>32675.602591835643</v>
      </c>
    </row>
    <row r="27" spans="1:4" ht="18" x14ac:dyDescent="0.35">
      <c r="C27" s="13"/>
      <c r="D27" s="13"/>
    </row>
    <row r="29" spans="1:4" x14ac:dyDescent="0.3">
      <c r="B29" s="69" t="s">
        <v>23</v>
      </c>
      <c r="C29" s="70" t="s">
        <v>35</v>
      </c>
      <c r="D29" s="70"/>
    </row>
    <row r="30" spans="1:4" ht="18" customHeight="1" x14ac:dyDescent="0.3">
      <c r="B30" s="71" t="s">
        <v>25</v>
      </c>
      <c r="C30" s="72">
        <f>D15</f>
        <v>1260</v>
      </c>
      <c r="D30" s="72"/>
    </row>
    <row r="32" spans="1:4" ht="15" thickBot="1" x14ac:dyDescent="0.35"/>
    <row r="33" spans="2:4" x14ac:dyDescent="0.3">
      <c r="B33" s="61" t="s">
        <v>26</v>
      </c>
      <c r="C33" s="62" t="s">
        <v>27</v>
      </c>
      <c r="D33" s="63" t="s">
        <v>28</v>
      </c>
    </row>
    <row r="34" spans="2:4" x14ac:dyDescent="0.3">
      <c r="B34" s="64" t="s">
        <v>29</v>
      </c>
      <c r="C34" s="60">
        <f>VLOOKUP($C$29&amp;"-"&amp;B34,Apoio!A:D,4,0)</f>
        <v>0.3</v>
      </c>
      <c r="D34" s="65">
        <f>C34*$C$30</f>
        <v>378</v>
      </c>
    </row>
    <row r="35" spans="2:4" x14ac:dyDescent="0.3">
      <c r="B35" s="64" t="s">
        <v>30</v>
      </c>
      <c r="C35" s="60">
        <f>VLOOKUP($C$29&amp;"-"&amp;B35,Apoio!A:D,4,0)</f>
        <v>0.5</v>
      </c>
      <c r="D35" s="65">
        <f t="shared" ref="D35:D39" si="0">C35*$C$30</f>
        <v>630</v>
      </c>
    </row>
    <row r="36" spans="2:4" x14ac:dyDescent="0.3">
      <c r="B36" s="64" t="s">
        <v>31</v>
      </c>
      <c r="C36" s="60">
        <f>VLOOKUP($C$29&amp;"-"&amp;B36,Apoio!A:D,4,0)</f>
        <v>0.1</v>
      </c>
      <c r="D36" s="65">
        <f t="shared" si="0"/>
        <v>126</v>
      </c>
    </row>
    <row r="37" spans="2:4" x14ac:dyDescent="0.3">
      <c r="B37" s="64" t="s">
        <v>32</v>
      </c>
      <c r="C37" s="60">
        <f>VLOOKUP($C$29&amp;"-"&amp;B37,Apoio!A:D,4,0)</f>
        <v>0.1</v>
      </c>
      <c r="D37" s="65">
        <f t="shared" si="0"/>
        <v>126</v>
      </c>
    </row>
    <row r="38" spans="2:4" x14ac:dyDescent="0.3">
      <c r="B38" s="64" t="s">
        <v>33</v>
      </c>
      <c r="C38" s="60">
        <f>VLOOKUP($C$29&amp;"-"&amp;B38,Apoio!A:D,4,0)</f>
        <v>0</v>
      </c>
      <c r="D38" s="65">
        <f t="shared" si="0"/>
        <v>0</v>
      </c>
    </row>
    <row r="39" spans="2:4" x14ac:dyDescent="0.3">
      <c r="B39" s="64" t="s">
        <v>34</v>
      </c>
      <c r="C39" s="60">
        <f>VLOOKUP($C$29&amp;"-"&amp;B39,Apoio!A:D,4,0)</f>
        <v>0</v>
      </c>
      <c r="D39" s="65">
        <f t="shared" si="0"/>
        <v>0</v>
      </c>
    </row>
    <row r="40" spans="2:4" ht="15" thickBot="1" x14ac:dyDescent="0.35">
      <c r="B40" s="66"/>
      <c r="C40" s="67"/>
      <c r="D40" s="68">
        <f>SUM(D34:D39)</f>
        <v>1260</v>
      </c>
    </row>
    <row r="65" customFormat="1" x14ac:dyDescent="0.3"/>
  </sheetData>
  <mergeCells count="13">
    <mergeCell ref="C29:D29"/>
    <mergeCell ref="C30:D30"/>
    <mergeCell ref="B14:C14"/>
    <mergeCell ref="B21:C21"/>
    <mergeCell ref="B10:C10"/>
    <mergeCell ref="B11:C11"/>
    <mergeCell ref="B12:C12"/>
    <mergeCell ref="B9:D9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29" xr:uid="{8B5EB80B-0532-431D-8E04-5FC30174763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2D0A-5288-4CC8-BD0C-6FF0E044ADCA}">
  <dimension ref="A2:D20"/>
  <sheetViews>
    <sheetView workbookViewId="0">
      <selection activeCell="B26" sqref="B26"/>
    </sheetView>
  </sheetViews>
  <sheetFormatPr defaultRowHeight="14.4" x14ac:dyDescent="0.3"/>
  <cols>
    <col min="1" max="1" width="28.77734375" bestFit="1" customWidth="1"/>
    <col min="2" max="3" width="17.6640625" bestFit="1" customWidth="1"/>
    <col min="4" max="4" width="8.88671875" style="15"/>
  </cols>
  <sheetData>
    <row r="2" spans="1:4" ht="15" thickBot="1" x14ac:dyDescent="0.35">
      <c r="A2" s="45" t="s">
        <v>37</v>
      </c>
      <c r="B2" s="45" t="s">
        <v>23</v>
      </c>
      <c r="C2" s="45" t="s">
        <v>26</v>
      </c>
      <c r="D2" s="45" t="s">
        <v>36</v>
      </c>
    </row>
    <row r="3" spans="1:4" x14ac:dyDescent="0.3">
      <c r="A3" s="46" t="str">
        <f>B3&amp;"-"&amp;C3</f>
        <v>Conservador-PAPEL</v>
      </c>
      <c r="B3" s="47" t="s">
        <v>35</v>
      </c>
      <c r="C3" s="48" t="s">
        <v>29</v>
      </c>
      <c r="D3" s="49">
        <v>0.3</v>
      </c>
    </row>
    <row r="4" spans="1:4" x14ac:dyDescent="0.3">
      <c r="A4" s="50" t="str">
        <f t="shared" ref="A4:A20" si="0">B4&amp;"-"&amp;C4</f>
        <v>Conservador-TIJOLO</v>
      </c>
      <c r="B4" s="51" t="s">
        <v>35</v>
      </c>
      <c r="C4" s="52" t="s">
        <v>30</v>
      </c>
      <c r="D4" s="53">
        <v>0.5</v>
      </c>
    </row>
    <row r="5" spans="1:4" x14ac:dyDescent="0.3">
      <c r="A5" s="50" t="str">
        <f t="shared" si="0"/>
        <v>Conservador-HIBRIDOS</v>
      </c>
      <c r="B5" s="51" t="s">
        <v>35</v>
      </c>
      <c r="C5" s="52" t="s">
        <v>31</v>
      </c>
      <c r="D5" s="53">
        <v>0.1</v>
      </c>
    </row>
    <row r="6" spans="1:4" x14ac:dyDescent="0.3">
      <c r="A6" s="50" t="str">
        <f t="shared" si="0"/>
        <v>Conservador-FOFs</v>
      </c>
      <c r="B6" s="51" t="s">
        <v>35</v>
      </c>
      <c r="C6" s="52" t="s">
        <v>32</v>
      </c>
      <c r="D6" s="53">
        <v>0.1</v>
      </c>
    </row>
    <row r="7" spans="1:4" x14ac:dyDescent="0.3">
      <c r="A7" s="50" t="str">
        <f t="shared" si="0"/>
        <v>Conservador-DESENVOLVIMENTO</v>
      </c>
      <c r="B7" s="51" t="s">
        <v>35</v>
      </c>
      <c r="C7" s="52" t="s">
        <v>33</v>
      </c>
      <c r="D7" s="53">
        <v>0</v>
      </c>
    </row>
    <row r="8" spans="1:4" ht="15" thickBot="1" x14ac:dyDescent="0.35">
      <c r="A8" s="54" t="str">
        <f t="shared" si="0"/>
        <v>Conservador-HOTELARIAS</v>
      </c>
      <c r="B8" s="55" t="s">
        <v>35</v>
      </c>
      <c r="C8" s="56" t="s">
        <v>34</v>
      </c>
      <c r="D8" s="57">
        <v>0</v>
      </c>
    </row>
    <row r="9" spans="1:4" x14ac:dyDescent="0.3">
      <c r="A9" s="46" t="str">
        <f t="shared" si="0"/>
        <v>Moderado-PAPEL</v>
      </c>
      <c r="B9" s="47" t="s">
        <v>38</v>
      </c>
      <c r="C9" s="48" t="s">
        <v>29</v>
      </c>
      <c r="D9" s="49">
        <v>0.32</v>
      </c>
    </row>
    <row r="10" spans="1:4" x14ac:dyDescent="0.3">
      <c r="A10" s="50" t="str">
        <f t="shared" si="0"/>
        <v>Moderado-TIJOLO</v>
      </c>
      <c r="B10" s="51" t="s">
        <v>38</v>
      </c>
      <c r="C10" s="52" t="s">
        <v>30</v>
      </c>
      <c r="D10" s="53">
        <v>0.4</v>
      </c>
    </row>
    <row r="11" spans="1:4" x14ac:dyDescent="0.3">
      <c r="A11" s="50" t="str">
        <f t="shared" si="0"/>
        <v>Moderado-HIBRIDOS</v>
      </c>
      <c r="B11" s="51" t="s">
        <v>38</v>
      </c>
      <c r="C11" s="52" t="s">
        <v>31</v>
      </c>
      <c r="D11" s="53">
        <v>0.1</v>
      </c>
    </row>
    <row r="12" spans="1:4" x14ac:dyDescent="0.3">
      <c r="A12" s="50" t="str">
        <f t="shared" si="0"/>
        <v>Moderado-FOFs</v>
      </c>
      <c r="B12" s="51" t="s">
        <v>38</v>
      </c>
      <c r="C12" s="52" t="s">
        <v>32</v>
      </c>
      <c r="D12" s="53">
        <v>0.08</v>
      </c>
    </row>
    <row r="13" spans="1:4" x14ac:dyDescent="0.3">
      <c r="A13" s="50" t="str">
        <f t="shared" si="0"/>
        <v>Moderado-DESENVOLVIMENTO</v>
      </c>
      <c r="B13" s="51" t="s">
        <v>38</v>
      </c>
      <c r="C13" s="52" t="s">
        <v>33</v>
      </c>
      <c r="D13" s="53">
        <v>0.05</v>
      </c>
    </row>
    <row r="14" spans="1:4" ht="15" thickBot="1" x14ac:dyDescent="0.35">
      <c r="A14" s="54" t="str">
        <f t="shared" si="0"/>
        <v>Moderado-HOTELARIAS</v>
      </c>
      <c r="B14" s="55" t="s">
        <v>38</v>
      </c>
      <c r="C14" s="56" t="s">
        <v>34</v>
      </c>
      <c r="D14" s="57">
        <v>0.05</v>
      </c>
    </row>
    <row r="15" spans="1:4" x14ac:dyDescent="0.3">
      <c r="A15" s="46" t="str">
        <f t="shared" si="0"/>
        <v>Agressivo-PAPEL</v>
      </c>
      <c r="B15" s="47" t="s">
        <v>24</v>
      </c>
      <c r="C15" s="48" t="s">
        <v>29</v>
      </c>
      <c r="D15" s="49">
        <v>0.5</v>
      </c>
    </row>
    <row r="16" spans="1:4" x14ac:dyDescent="0.3">
      <c r="A16" s="50" t="str">
        <f t="shared" si="0"/>
        <v>Agressivo-TIJOLO</v>
      </c>
      <c r="B16" s="51" t="s">
        <v>24</v>
      </c>
      <c r="C16" s="52" t="s">
        <v>30</v>
      </c>
      <c r="D16" s="58">
        <v>0.1</v>
      </c>
    </row>
    <row r="17" spans="1:4" x14ac:dyDescent="0.3">
      <c r="A17" s="50" t="str">
        <f t="shared" si="0"/>
        <v>Agressivo-HIBRIDOS</v>
      </c>
      <c r="B17" s="51" t="s">
        <v>24</v>
      </c>
      <c r="C17" s="52" t="s">
        <v>31</v>
      </c>
      <c r="D17" s="58">
        <v>0.05</v>
      </c>
    </row>
    <row r="18" spans="1:4" x14ac:dyDescent="0.3">
      <c r="A18" s="50" t="str">
        <f t="shared" si="0"/>
        <v>Agressivo-FOFs</v>
      </c>
      <c r="B18" s="51" t="s">
        <v>24</v>
      </c>
      <c r="C18" s="52" t="s">
        <v>32</v>
      </c>
      <c r="D18" s="58">
        <v>0.05</v>
      </c>
    </row>
    <row r="19" spans="1:4" x14ac:dyDescent="0.3">
      <c r="A19" s="50" t="str">
        <f t="shared" si="0"/>
        <v>Agressivo-DESENVOLVIMENTO</v>
      </c>
      <c r="B19" s="51" t="s">
        <v>24</v>
      </c>
      <c r="C19" s="52" t="s">
        <v>33</v>
      </c>
      <c r="D19" s="58">
        <v>0.2</v>
      </c>
    </row>
    <row r="20" spans="1:4" ht="15" thickBot="1" x14ac:dyDescent="0.35">
      <c r="A20" s="54" t="str">
        <f t="shared" si="0"/>
        <v>Agressivo-HOTELARIAS</v>
      </c>
      <c r="B20" s="55" t="s">
        <v>24</v>
      </c>
      <c r="C20" s="56" t="s">
        <v>34</v>
      </c>
      <c r="D20" s="5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Perguntas</vt:lpstr>
      <vt:lpstr>Simulador</vt:lpstr>
      <vt:lpstr>Apoio</vt:lpstr>
      <vt:lpstr>anos</vt:lpstr>
      <vt:lpstr>patimonio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Araujo</dc:creator>
  <cp:lastModifiedBy>Bianca Araujo</cp:lastModifiedBy>
  <dcterms:created xsi:type="dcterms:W3CDTF">2026-09-25T11:44:47Z</dcterms:created>
  <dcterms:modified xsi:type="dcterms:W3CDTF">2026-09-28T17:53:00Z</dcterms:modified>
</cp:coreProperties>
</file>